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7d132afe2c56566/Documents/Da statistics assignmnet/"/>
    </mc:Choice>
  </mc:AlternateContent>
  <xr:revisionPtr revIDLastSave="0" documentId="8_{ED7AF10B-EBB0-4EFE-8F34-8099CC11F512}" xr6:coauthVersionLast="47" xr6:coauthVersionMax="47" xr10:uidLastSave="{00000000-0000-0000-0000-000000000000}"/>
  <bookViews>
    <workbookView xWindow="-108" yWindow="-108" windowWidth="21336" windowHeight="11376" xr2:uid="{00000000-000D-0000-FFFF-FFFF00000000}"/>
  </bookViews>
  <sheets>
    <sheet name="Day1-3 Regression" sheetId="1" r:id="rId1"/>
    <sheet name="Day4 Outlier" sheetId="2" r:id="rId2"/>
    <sheet name="Day5 Hous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 a="1"/>
  <c r="E11" i="1" s="1"/>
  <c r="E5" i="3"/>
  <c r="E7" i="3" s="1"/>
  <c r="E4" i="3"/>
  <c r="E12" i="1"/>
  <c r="E4" i="1"/>
  <c r="D9" i="1" s="1"/>
  <c r="E9" i="1" s="1"/>
  <c r="E3" i="1"/>
  <c r="D7" i="1" l="1"/>
  <c r="E7" i="1" s="1"/>
  <c r="D8" i="1"/>
  <c r="E8" i="1" s="1"/>
  <c r="D5" i="1"/>
  <c r="E5" i="1" s="1"/>
  <c r="D6" i="1"/>
  <c r="E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<sst xmlns="http://schemas.openxmlformats.org/spreadsheetml/2006/main" count="17" uniqueCount="13">
  <si>
    <t>Regression Assignment - Sarthak Sahu</t>
  </si>
  <si>
    <t>Dataset: Hours_Studied vs Exam_Score</t>
  </si>
  <si>
    <t>Slope</t>
  </si>
  <si>
    <t>Hours_Studied</t>
  </si>
  <si>
    <t>Exam_Score</t>
  </si>
  <si>
    <t>Intercept</t>
  </si>
  <si>
    <t>MSE</t>
  </si>
  <si>
    <t>R^2</t>
  </si>
  <si>
    <t>Extended Dataset with Outlier</t>
  </si>
  <si>
    <t>Housing Price Prediction - Sarthak Sahu</t>
  </si>
  <si>
    <t>House_Size</t>
  </si>
  <si>
    <t>Price</t>
  </si>
  <si>
    <t>Predicted Price for 1000 sq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</si>
</sst>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Hours Studied vs Exam Score</a:t>
            </a:r>
          </a:p>
        </c:rich>
      </c:tx>
      <c:layout>
        <c:manualLayout>
          <c:xMode val="edge"/>
          <c:yMode val="edge"/>
          <c:x val="0.223374890638670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'Day1-3 Regression'!$B$4</c:f>
              <c:strCache>
                <c:ptCount val="1"/>
                <c:pt idx="0">
                  <c:v>Exam_Score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'Day1-3 Regression'!$A$5:$A$9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'Day1-3 Regression'!$B$5:$B$9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B-46D4-86AD-21380E778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403312"/>
        <c:axId val="1923412912"/>
      </c:scatterChart>
      <c:valAx>
        <c:axId val="192340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  Studied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2912"/>
        <c:crosses val="autoZero"/>
        <c:crossBetween val="midCat"/>
      </c:valAx>
      <c:valAx>
        <c:axId val="192341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0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OUTLIAR</a:t>
            </a:r>
            <a:r>
              <a:rPr lang="en-US" baseline="0"/>
              <a:t> DETECTION SCATTER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49575240036999"/>
          <c:y val="0.17094982082755386"/>
          <c:w val="0.67443675359524902"/>
          <c:h val="0.62439292949308389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'Day4 Outlier'!$B$2</c:f>
              <c:strCache>
                <c:ptCount val="1"/>
                <c:pt idx="0">
                  <c:v>Exam_Score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'Day4 Outlier'!$A$3:$A$8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50</c:v>
                </c:pt>
              </c:numCache>
            </c:numRef>
          </c:xVal>
          <c:yVal>
            <c:numRef>
              <c:f>'Day4 Outlier'!$B$3:$B$8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0-4EC9-A521-CB9203E4A1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95632848"/>
        <c:axId val="1695631888"/>
      </c:scatterChart>
      <c:valAx>
        <c:axId val="169563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</a:t>
                </a:r>
                <a:r>
                  <a:rPr lang="en-IN" baseline="0"/>
                  <a:t> STUDIED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631888"/>
        <c:crosses val="autoZero"/>
        <c:crossBetween val="midCat"/>
      </c:valAx>
      <c:valAx>
        <c:axId val="16956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n>
                      <a:solidFill>
                        <a:schemeClr val="accent1"/>
                      </a:solidFill>
                    </a:ln>
                  </a:rPr>
                  <a:t>EXAM</a:t>
                </a:r>
                <a:r>
                  <a:rPr lang="en-IN" baseline="0">
                    <a:ln>
                      <a:solidFill>
                        <a:schemeClr val="accent1"/>
                      </a:solidFill>
                    </a:ln>
                  </a:rPr>
                  <a:t> SCORE</a:t>
                </a:r>
                <a:endParaRPr lang="en-IN">
                  <a:ln>
                    <a:solidFill>
                      <a:schemeClr val="accent1"/>
                    </a:solidFill>
                  </a:ln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632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HOUSE SIZE VS PRICE</a:t>
            </a:r>
          </a:p>
        </c:rich>
      </c:tx>
      <c:layout>
        <c:manualLayout>
          <c:xMode val="edge"/>
          <c:yMode val="edge"/>
          <c:x val="0.2995415573053368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35870516185477"/>
          <c:y val="0.13930555555555557"/>
          <c:w val="0.82686351706036743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'Day5 Housing'!$B$3</c:f>
              <c:strCache>
                <c:ptCount val="1"/>
                <c:pt idx="0">
                  <c:v>Price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'Day5 Housing'!$A$4:$A$8</c:f>
              <c:numCache>
                <c:formatCode>General</c:formatCode>
                <c:ptCount val="5"/>
                <c:pt idx="0">
                  <c:v>850</c:v>
                </c:pt>
                <c:pt idx="1">
                  <c:v>900</c:v>
                </c:pt>
                <c:pt idx="2">
                  <c:v>1200</c:v>
                </c:pt>
                <c:pt idx="3">
                  <c:v>1500</c:v>
                </c:pt>
                <c:pt idx="4">
                  <c:v>1800</c:v>
                </c:pt>
              </c:numCache>
            </c:numRef>
          </c:xVal>
          <c:yVal>
            <c:numRef>
              <c:f>'Day5 Housing'!$B$4:$B$8</c:f>
              <c:numCache>
                <c:formatCode>General</c:formatCode>
                <c:ptCount val="5"/>
                <c:pt idx="0">
                  <c:v>140000</c:v>
                </c:pt>
                <c:pt idx="1">
                  <c:v>155000</c:v>
                </c:pt>
                <c:pt idx="2">
                  <c:v>200000</c:v>
                </c:pt>
                <c:pt idx="3">
                  <c:v>250000</c:v>
                </c:pt>
                <c:pt idx="4">
                  <c:v>300000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B-4C8A-8952-C0E666606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50880"/>
        <c:axId val="50543680"/>
      </c:scatterChart>
      <c:valAx>
        <c:axId val="5055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3680"/>
        <c:crosses val="autoZero"/>
        <c:crossBetween val="midCat"/>
      </c:valAx>
      <c:valAx>
        <c:axId val="505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5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0</xdr:row>
      <xdr:rowOff>0</xdr:rowOff>
    </xdr:from>
    <xdr:to>
      <xdr:col>13</xdr:col>
      <xdr:colOff>220980</xdr:colOff>
      <xdr:row>14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B7FC52-1FA3-C9E3-7ACC-D0BFFB251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326028</xdr:colOff>
      <xdr:row>2</xdr:row>
      <xdr:rowOff>8164</xdr:rowOff>
    </xdr:from>
    <xdr:to>
      <xdr:col>10</xdr:col>
      <xdr:colOff>21228</xdr:colOff>
      <xdr:row>17</xdr:row>
      <xdr:rowOff>8164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85A42-2CC9-946D-0CCE-03A2BFDB8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655320</xdr:colOff>
      <xdr:row>9</xdr:row>
      <xdr:rowOff>0</xdr:rowOff>
    </xdr:from>
    <xdr:to>
      <xdr:col>4</xdr:col>
      <xdr:colOff>38100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C3D1F-F9CE-67BA-7427-402741E43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"/>
    </sheetView>
  </sheetViews>
  <sheetFormatPr defaultRowHeight="14.4" x14ac:dyDescent="0.3"/>
  <cols>
    <col min="1" max="1" width="34.33203125" customWidth="1"/>
    <col min="2" max="2" width="11" bestFit="1" customWidth="1"/>
    <col min="5" max="5" width="8.109375" bestFit="1" customWidth="1"/>
  </cols>
  <sheetData>
    <row r="1" spans="1:5" ht="18" x14ac:dyDescent="0.35">
      <c r="A1" s="2" t="s">
        <v>0</v>
      </c>
    </row>
    <row r="3" spans="1:5" x14ac:dyDescent="0.3">
      <c r="A3" s="1" t="s">
        <v>1</v>
      </c>
      <c r="D3" s="1" t="s">
        <v>2</v>
      </c>
      <c r="E3">
        <f>SLOPE(B5:B9,A5:A9)</f>
        <v>0.6</v>
      </c>
    </row>
    <row r="4" spans="1:5" x14ac:dyDescent="0.3">
      <c r="A4" s="1" t="s">
        <v>3</v>
      </c>
      <c r="B4" s="1" t="s">
        <v>4</v>
      </c>
      <c r="D4" s="1" t="s">
        <v>5</v>
      </c>
      <c r="E4">
        <f>INTERCEPT(B5:B9,A5:A9)</f>
        <v>2.2000000000000002</v>
      </c>
    </row>
    <row r="5" spans="1:5" x14ac:dyDescent="0.3">
      <c r="A5">
        <v>1</v>
      </c>
      <c r="B5">
        <v>2</v>
      </c>
      <c r="D5">
        <f>$E$4+$E$3*A5</f>
        <v>2.8000000000000003</v>
      </c>
      <c r="E5">
        <f>B5-D5</f>
        <v>-0.80000000000000027</v>
      </c>
    </row>
    <row r="6" spans="1:5" x14ac:dyDescent="0.3">
      <c r="A6">
        <v>2</v>
      </c>
      <c r="B6">
        <v>4</v>
      </c>
      <c r="D6">
        <f>$E$4+$E$3*A6</f>
        <v>3.4000000000000004</v>
      </c>
      <c r="E6">
        <f>B6-D6</f>
        <v>0.59999999999999964</v>
      </c>
    </row>
    <row r="7" spans="1:5" x14ac:dyDescent="0.3">
      <c r="A7">
        <v>3</v>
      </c>
      <c r="B7">
        <v>5</v>
      </c>
      <c r="D7">
        <f>$E$4+$E$3*A7</f>
        <v>4</v>
      </c>
      <c r="E7">
        <f>B7-D7</f>
        <v>1</v>
      </c>
    </row>
    <row r="8" spans="1:5" x14ac:dyDescent="0.3">
      <c r="A8">
        <v>4</v>
      </c>
      <c r="B8">
        <v>4</v>
      </c>
      <c r="D8">
        <f>$E$4+$E$3*A8</f>
        <v>4.5999999999999996</v>
      </c>
      <c r="E8">
        <f>B8-D8</f>
        <v>-0.59999999999999964</v>
      </c>
    </row>
    <row r="9" spans="1:5" x14ac:dyDescent="0.3">
      <c r="A9">
        <v>5</v>
      </c>
      <c r="B9">
        <v>5</v>
      </c>
      <c r="D9">
        <f>$E$4+$E$3*A9</f>
        <v>5.2</v>
      </c>
      <c r="E9">
        <f>B9-D9</f>
        <v>-0.20000000000000018</v>
      </c>
    </row>
    <row r="11" spans="1:5" x14ac:dyDescent="0.3">
      <c r="D11" t="s">
        <v>6</v>
      </c>
      <c r="E11" cm="1">
        <f t="array" ref="E11">AVERAGE(E5:E9*E5:E9)</f>
        <v>0.47999999999999987</v>
      </c>
    </row>
    <row r="12" spans="1:5" x14ac:dyDescent="0.3">
      <c r="D12" t="s">
        <v>7</v>
      </c>
      <c r="E12">
        <f>RSQ(B5:B9,A5:A9)</f>
        <v>0.60000000000000009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="112" workbookViewId="0">
      <selection activeCell="M7" sqref="M7"/>
    </sheetView>
  </sheetViews>
  <sheetFormatPr defaultRowHeight="14.4" x14ac:dyDescent="0.3"/>
  <cols>
    <col min="1" max="1" width="25.6640625" bestFit="1" customWidth="1"/>
    <col min="2" max="2" width="11" bestFit="1" customWidth="1"/>
  </cols>
  <sheetData>
    <row r="1" spans="1:2" x14ac:dyDescent="0.3">
      <c r="A1" t="s">
        <v>8</v>
      </c>
    </row>
    <row r="2" spans="1:2" x14ac:dyDescent="0.3">
      <c r="A2" t="s">
        <v>3</v>
      </c>
      <c r="B2" t="s">
        <v>4</v>
      </c>
    </row>
    <row r="3" spans="1:2" x14ac:dyDescent="0.3">
      <c r="A3">
        <v>1</v>
      </c>
      <c r="B3">
        <v>2</v>
      </c>
    </row>
    <row r="4" spans="1:2" x14ac:dyDescent="0.3">
      <c r="A4">
        <v>2</v>
      </c>
      <c r="B4">
        <v>4</v>
      </c>
    </row>
    <row r="5" spans="1:2" x14ac:dyDescent="0.3">
      <c r="A5">
        <v>3</v>
      </c>
      <c r="B5">
        <v>5</v>
      </c>
    </row>
    <row r="6" spans="1:2" x14ac:dyDescent="0.3">
      <c r="A6">
        <v>4</v>
      </c>
      <c r="B6">
        <v>4</v>
      </c>
    </row>
    <row r="7" spans="1:2" x14ac:dyDescent="0.3">
      <c r="A7">
        <v>5</v>
      </c>
      <c r="B7">
        <v>5</v>
      </c>
    </row>
    <row r="8" spans="1:2" x14ac:dyDescent="0.3">
      <c r="A8">
        <v>50</v>
      </c>
      <c r="B8">
        <v>100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H13" sqref="H13"/>
    </sheetView>
  </sheetViews>
  <sheetFormatPr defaultRowHeight="14.4" x14ac:dyDescent="0.3"/>
  <cols>
    <col min="1" max="1" width="33.109375" bestFit="1" customWidth="1"/>
    <col min="4" max="4" width="24.6640625" bestFit="1" customWidth="1"/>
  </cols>
  <sheetData>
    <row r="1" spans="1:5" x14ac:dyDescent="0.3">
      <c r="A1" t="s">
        <v>9</v>
      </c>
    </row>
    <row r="3" spans="1:5" x14ac:dyDescent="0.3">
      <c r="A3" t="s">
        <v>10</v>
      </c>
      <c r="B3" t="s">
        <v>11</v>
      </c>
    </row>
    <row r="4" spans="1:5" x14ac:dyDescent="0.3">
      <c r="A4">
        <v>850</v>
      </c>
      <c r="B4">
        <v>140000</v>
      </c>
      <c r="D4" t="s">
        <v>2</v>
      </c>
      <c r="E4">
        <f>SLOPE(B4:B8,A4:A8)</f>
        <v>165</v>
      </c>
    </row>
    <row r="5" spans="1:5" x14ac:dyDescent="0.3">
      <c r="A5">
        <v>900</v>
      </c>
      <c r="B5">
        <v>155000</v>
      </c>
      <c r="D5" t="s">
        <v>5</v>
      </c>
      <c r="E5">
        <f>INTERCEPT(B4:B8,A4:A8)</f>
        <v>2750</v>
      </c>
    </row>
    <row r="6" spans="1:5" x14ac:dyDescent="0.3">
      <c r="A6">
        <v>1200</v>
      </c>
      <c r="B6">
        <v>200000</v>
      </c>
    </row>
    <row r="7" spans="1:5" x14ac:dyDescent="0.3">
      <c r="A7">
        <v>1500</v>
      </c>
      <c r="B7">
        <v>250000</v>
      </c>
      <c r="D7" t="s">
        <v>12</v>
      </c>
      <c r="E7">
        <f>$E$5+$E$4*1000</f>
        <v>167750</v>
      </c>
    </row>
    <row r="8" spans="1:5" x14ac:dyDescent="0.3">
      <c r="A8">
        <v>1800</v>
      </c>
      <c r="B8">
        <v>300000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Day1-3 Regression</vt:lpstr>
      <vt:lpstr>Day4 Outlier</vt:lpstr>
      <vt:lpstr>Day5 Housing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sarthak.sahu2448@gmail.com</cp:lastModifiedBy>
  <cp:revision/>
  <dcterms:created xsi:type="dcterms:W3CDTF">2026-01-28T17:14:00Z</dcterms:created>
  <dcterms:modified xsi:type="dcterms:W3CDTF">2026-01-29T07:38:58Z</dcterms:modified>
  <cp:category/>
  <cp:contentStatus/>
</cp:coreProperties>
</file>